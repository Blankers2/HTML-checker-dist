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litto\Desktop\AI-test\html-checker-dist\"/>
    </mc:Choice>
  </mc:AlternateContent>
  <xr:revisionPtr revIDLastSave="0" documentId="11_2D7D11509D6D6193A9CB43E566179B7516BF2D3B" xr6:coauthVersionLast="47" xr6:coauthVersionMax="47" xr10:uidLastSave="{00000000-0000-0000-0000-000000000000}"/>
  <bookViews>
    <workbookView xWindow="0" yWindow="5604" windowWidth="23040" windowHeight="6636" xr2:uid="{00000000-000D-0000-FFFF-FFFF00000000}"/>
  </bookViews>
  <sheets>
    <sheet name="📋 검수 체크리스트" sheetId="1" r:id="rId1"/>
    <sheet name="📑 단계별 상세" sheetId="2" r:id="rId2"/>
    <sheet name="📈 진행 현황" sheetId="3" r:id="rId3"/>
    <sheet name="ℹ️ 사용 가이드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3" l="1"/>
  <c r="F19" i="3"/>
  <c r="E19" i="3"/>
  <c r="D19" i="3"/>
  <c r="C19" i="3"/>
  <c r="B19" i="3"/>
  <c r="F18" i="3"/>
  <c r="E18" i="3"/>
  <c r="D18" i="3"/>
  <c r="C18" i="3"/>
  <c r="B18" i="3"/>
  <c r="F17" i="3"/>
  <c r="E17" i="3"/>
  <c r="D17" i="3"/>
  <c r="C17" i="3"/>
  <c r="B17" i="3"/>
  <c r="F16" i="3"/>
  <c r="E16" i="3"/>
  <c r="D16" i="3"/>
  <c r="C16" i="3"/>
  <c r="B16" i="3"/>
  <c r="F15" i="3"/>
  <c r="E15" i="3"/>
  <c r="D15" i="3"/>
  <c r="C15" i="3"/>
  <c r="B15" i="3"/>
  <c r="F14" i="3"/>
  <c r="E14" i="3"/>
  <c r="D14" i="3"/>
  <c r="C14" i="3"/>
  <c r="B14" i="3"/>
  <c r="F13" i="3"/>
  <c r="E13" i="3"/>
  <c r="D13" i="3"/>
  <c r="C13" i="3"/>
  <c r="B13" i="3"/>
  <c r="A7" i="3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D7" i="3" s="1"/>
  <c r="L6" i="1"/>
  <c r="E7" i="3" l="1"/>
  <c r="B7" i="3"/>
  <c r="C7" i="3"/>
</calcChain>
</file>

<file path=xl/sharedStrings.xml><?xml version="1.0" encoding="utf-8"?>
<sst xmlns="http://schemas.openxmlformats.org/spreadsheetml/2006/main" count="182" uniqueCount="114">
  <si>
    <t>HTML 납품 QC 체크리스트</t>
  </si>
  <si>
    <t>각 제품(GA 코드)별로 7단계 검수 상태를 기록합니다. 상태 칸을 클릭하면 드롭다운으로 선택할 수 있습니다.</t>
  </si>
  <si>
    <t>GA 코드</t>
  </si>
  <si>
    <t>제품명</t>
  </si>
  <si>
    <t>납품 예정일</t>
  </si>
  <si>
    <t>담당자</t>
  </si>
  <si>
    <t>1. HTML 포맷</t>
  </si>
  <si>
    <t>2. 이미지 1차</t>
  </si>
  <si>
    <t>3. 한국어 검수</t>
  </si>
  <si>
    <t>4. TM 검수</t>
  </si>
  <si>
    <t>5. 이미지 2차</t>
  </si>
  <si>
    <t>6. 번역 검수</t>
  </si>
  <si>
    <t>7. 최종 QC</t>
  </si>
  <si>
    <t>진행률</t>
  </si>
  <si>
    <t>최종 상태</t>
  </si>
  <si>
    <t>이슈/메모</t>
  </si>
  <si>
    <t>HTML Checker 링크</t>
  </si>
  <si>
    <t>기본 정보</t>
  </si>
  <si>
    <t>수기 입력</t>
  </si>
  <si>
    <t>🤖 자동</t>
  </si>
  <si>
    <t>ƒ 자동 계산</t>
  </si>
  <si>
    <t>필요 시 기재</t>
  </si>
  <si>
    <t>도구 링크</t>
  </si>
  <si>
    <t>GA260237605</t>
  </si>
  <si>
    <t>바이오힐보 프로바이오덤 콜라겐 리모델링 라인</t>
  </si>
  <si>
    <t>2026-06-15</t>
  </si>
  <si>
    <t>김OO</t>
  </si>
  <si>
    <t>완료</t>
  </si>
  <si>
    <t>진행중</t>
  </si>
  <si>
    <t>대기</t>
  </si>
  <si>
    <t>이미지 2차 - 폰트 사이즈 조정 필요</t>
  </si>
  <si>
    <t>앱 열기</t>
  </si>
  <si>
    <t>단계별 상세 체크 항목</t>
  </si>
  <si>
    <t>각 단계에서 무엇을 확인해야 하는지, 자동화 가능 여부와 사용 도구를 정리.</t>
  </si>
  <si>
    <t>단계</t>
  </si>
  <si>
    <t>단계명</t>
  </si>
  <si>
    <t>주요 체크 항목</t>
  </si>
  <si>
    <t>자동화</t>
  </si>
  <si>
    <t>사용 도구 / 가이드</t>
  </si>
  <si>
    <t>①</t>
  </si>
  <si>
    <t>HTML 포맷 검수</t>
  </si>
  <si>
    <t>• HTML 파일이 정상적으로 생성되었는지 확인
• EN/JA/KR 3개 파일이 모두 존재하는지 확인
• 파일명 규약 준수 여부 (_en_, _ja_, _origin_ 패턴)
• 인코딩(UTF-8) 정상 여부 — 한국어/일본어 깨짐 없음
• 브라우저에서 정상 렌더링되는지 확인</t>
  </si>
  <si>
    <t>수기</t>
  </si>
  <si>
    <t>브라우저 / HTML Checker</t>
  </si>
  <si>
    <t>②</t>
  </si>
  <si>
    <t>이미지 1차 검수</t>
  </si>
  <si>
    <t>• 공유된 통합 작업 가이드 기준으로 진행
• 제거 대상 이미지 발견 시 제거/수정/문의 분기
• 예: 기획상품, 일반인 사진, 한정 이벤트, 연휴 배송안내 등
• KO 원본 대비 누락 여부 확인 (이미지가 번역본에서 빠졌는지)</t>
  </si>
  <si>
    <t>HTML Checker (KO 원본 토글) · 작업 가이드</t>
  </si>
  <si>
    <t>③</t>
  </si>
  <si>
    <t>한국어 텍스트 유무 검수</t>
  </si>
  <si>
    <t>• 미번역 한국어 텍스트가 EN/JA 번역본에 섞여 있는지 자동 탐지
• 룰베이스(정규식 [가-힣]+) 기반 자동화 — 휴먼에러 0
• 헤더 ⚠ 배지 / 드롭다운 자동 노출
• 미니맵 펄스 마커 + 좌측 ⚠ 기호로 위치 즉시 확인
• CSV 내보내기로 결과 기록</t>
  </si>
  <si>
    <t>HTML Checker · 한국어 자동 탐지</t>
  </si>
  <si>
    <t>④</t>
  </si>
  <si>
    <t>TM/금지어/대체어 검수</t>
  </si>
  <si>
    <t>• 공식 TM(Translation Memory) 적용 여부 자동 검수
• 룰베이스 기반 — 기준어 정상 등록 시 휴먼에러 0
• 정규화: 줄바꿈 / 일본어 전각↔반각 / 공백 / 대소문자 / ひら↔カタ
• 최대 10개 검색어 동시 색상별 표시
• Pill 클릭 필터링으로 결과 좁히기
• EN/JA 매칭 차이는 ▶ 표시로 즉시 발견
• 검색 히스토리 자동 저장 (재사용 용이)</t>
  </si>
  <si>
    <t>HTML Checker · TM 다중 검색 · 백오피스 TM 리스트</t>
  </si>
  <si>
    <t>⑤</t>
  </si>
  <si>
    <t>이미지 2차 검수</t>
  </si>
  <si>
    <t>• 통합 작업 가이드 기준 디자인 검수 진행
• 텍스트 부분 속성 (강조, 색상, 굵기 등) 일관성 확인
• 폰트 사이즈 / 줄 간격 / 자간
• 톤앤무드가 KO 원본과 흡사하게 유지되는지 확인
• 이미지 정렬 / 패딩 / 마진 검수</t>
  </si>
  <si>
    <t>HTML Checker (KO 원본 비교) · 작업 가이드</t>
  </si>
  <si>
    <t>⑥</t>
  </si>
  <si>
    <t>번역검수</t>
  </si>
  <si>
    <t>• 라이트한 검수 — 눈에 띄는 오역 단어만 검수
• 어순 / 어색한 표현 / 명백한 의미 오류 위주
• 정밀 번역 검수는 별도 프로세스에서 수행</t>
  </si>
  <si>
    <t>HTML Checker (2분할 비교 뷰)</t>
  </si>
  <si>
    <t>⑦</t>
  </si>
  <si>
    <t>최종 QC 후 납품</t>
  </si>
  <si>
    <t>• 가이드 기준 전체적인 검수 (다시 한 번 통합 확인)
• ①~⑥ 결과 종합 검토
• 이슈가 모두 해결되었는지 재확인
• 납품 직전 마지막 게이트</t>
  </si>
  <si>
    <t>HTML Checker · 통합 가이드</t>
  </si>
  <si>
    <t>진행 현황 (자동 집계)</t>
  </si>
  <si>
    <t>‹검수 체크리스트› 시트의 데이터를 자동으로 집계합니다.</t>
  </si>
  <si>
    <t>전체 요약</t>
  </si>
  <si>
    <t>총 제품 수</t>
  </si>
  <si>
    <t>이슈</t>
  </si>
  <si>
    <t>단계별 완료율</t>
  </si>
  <si>
    <t>완료율</t>
  </si>
  <si>
    <t>전체 평균</t>
  </si>
  <si>
    <t>사용 가이드</t>
  </si>
  <si>
    <t>📋 시트 구성</t>
  </si>
  <si>
    <t>검수 체크리스트</t>
  </si>
  <si>
    <t>각 제품(GA 코드)별 7단계 진행 상황을 기록하는 메인 시트</t>
  </si>
  <si>
    <t>단계별 상세</t>
  </si>
  <si>
    <t>각 단계에서 확인해야 하는 항목과 자동화 여부, 사용 도구</t>
  </si>
  <si>
    <t>진행 현황</t>
  </si>
  <si>
    <t>체크리스트의 데이터를 자동으로 집계 — 단계별 완료율 및 전체 평균</t>
  </si>
  <si>
    <t>이 시트 — 사용법 + 색상 의미</t>
  </si>
  <si>
    <t>🎨 상태 색상</t>
  </si>
  <si>
    <t>아직 시작 전 (기본값)</t>
  </si>
  <si>
    <t>현재 작업 중</t>
  </si>
  <si>
    <t>검수 완료 — 통과</t>
  </si>
  <si>
    <t>문제 발견 → 메모에 상세 기록 후 다음 단계 진입 보류</t>
  </si>
  <si>
    <t>N/A</t>
  </si>
  <si>
    <t>해당 단계가 적용되지 않는 경우 (예: 이미지 없는 페이지)</t>
  </si>
  <si>
    <t>🔄 워크플로우</t>
  </si>
  <si>
    <t>① HTML 포맷 검수 → 정상 파일 생성 확인</t>
  </si>
  <si>
    <t>② 이미지 1차 검수 → 작업 가이드 기준 제거/수정/문의 분기</t>
  </si>
  <si>
    <t>③ 한국어 텍스트 검수 → 🤖 HTML Checker 자동 검출</t>
  </si>
  <si>
    <t>④ TM/금지어/대체어 검수 → 🤖 HTML Checker 다중 검색</t>
  </si>
  <si>
    <t>⑤ 이미지 2차 검수 → 디자인 가이드 적용 확인</t>
  </si>
  <si>
    <t>⑥ 번역 검수 → 라이트한 오역 확인</t>
  </si>
  <si>
    <t>⑦ 최종 QC → 가이드 기준 전체 통합 검수 → 납품</t>
  </si>
  <si>
    <t>🔧 사용 도구</t>
  </si>
  <si>
    <t>HTML Checker (앱)</t>
  </si>
  <si>
    <t>https://blankers2.github.io/HTML-checker-dist/</t>
  </si>
  <si>
    <t>MIGRATION.md (도입 가이드)</t>
  </si>
  <si>
    <t>https://github.com/Blankers2/HTML-checker-dist/blob/main/MIGRATION.md</t>
  </si>
  <si>
    <t>pitch.html (소개 보고서)</t>
  </si>
  <si>
    <t>https://blankers2.github.io/HTML-checker-dist/pitch.html</t>
  </si>
  <si>
    <t>💡 작성 팁</t>
  </si>
  <si>
    <t>1. 한 행 = 한 제품. GA 코드 + 제품명을 먼저 입력.</t>
  </si>
  <si>
    <t>2. 상태 칸을 클릭하면 드롭다운으로 [대기/진행중/완료/이슈/N/A] 선택.</t>
  </si>
  <si>
    <t>3. ‹HTML Checker 링크› 열의 "앱 열기" 클릭 → 즉시 검수 도구 실행.</t>
  </si>
  <si>
    <t>4. 이슈 발견 시 ‹이슈/메모› 열에 구체적으로 기록 (예: "⑤ 폰트 사이즈 12→14 조정 필요").</t>
  </si>
  <si>
    <t>5. ‹진행률›, ‹최종 상태›는 자동 계산되니 수정하지 마세요.</t>
  </si>
  <si>
    <t>6. 진행 현황 시트는 별도 작업 없이 자동으로 업데이트됩니다.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</si>
</sst>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맑은 고딕"/>
      <family val="2"/>
      <scheme val="minor"/>
    </font>
    <font>
      <b/>
      <sz val="18"/>
      <color rgb="FF1A1614"/>
      <name val="맑은 고딕"/>
      <family val="3"/>
      <charset val="129"/>
    </font>
    <font>
      <sz val="10"/>
      <color rgb="FF84807A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9"/>
      <color rgb="FF84807A"/>
      <name val="맑은 고딕"/>
      <family val="3"/>
      <charset val="129"/>
    </font>
    <font>
      <b/>
      <sz val="9"/>
      <color rgb="FF0046A8"/>
      <name val="맑은 고딕"/>
      <family val="3"/>
      <charset val="129"/>
    </font>
    <font>
      <i/>
      <sz val="9"/>
      <color rgb="FF84807A"/>
      <name val="맑은 고딕"/>
      <family val="3"/>
      <charset val="129"/>
    </font>
    <font>
      <sz val="11"/>
      <color rgb="FF1A1614"/>
      <name val="맑은 고딕"/>
      <family val="3"/>
      <charset val="129"/>
    </font>
    <font>
      <sz val="10"/>
      <color rgb="FF4A4744"/>
      <name val="맑은 고딕"/>
      <family val="3"/>
      <charset val="129"/>
    </font>
    <font>
      <b/>
      <sz val="11"/>
      <color rgb="FF0046A8"/>
      <name val="맑은 고딕"/>
      <family val="3"/>
      <charset val="129"/>
    </font>
    <font>
      <sz val="10"/>
      <color rgb="FF0046A8"/>
      <name val="맑은 고딕"/>
      <family val="3"/>
      <charset val="129"/>
    </font>
    <font>
      <b/>
      <sz val="11"/>
      <color rgb="FF1A1614"/>
      <name val="맑은 고딕"/>
      <family val="3"/>
      <charset val="129"/>
    </font>
    <font>
      <b/>
      <sz val="20"/>
      <color rgb="FFFFAA00"/>
      <name val="맑은 고딕"/>
      <family val="3"/>
      <charset val="129"/>
    </font>
    <font>
      <b/>
      <sz val="12"/>
      <color rgb="FF1A1614"/>
      <name val="맑은 고딕"/>
      <family val="3"/>
      <charset val="129"/>
    </font>
    <font>
      <b/>
      <sz val="20"/>
      <color rgb="FF3B82F6"/>
      <name val="맑은 고딕"/>
      <family val="3"/>
      <charset val="129"/>
    </font>
    <font>
      <b/>
      <sz val="20"/>
      <color rgb="FFFF0033"/>
      <name val="맑은 고딕"/>
      <family val="3"/>
      <charset val="129"/>
    </font>
    <font>
      <b/>
      <sz val="10"/>
      <color rgb="FF0046A8"/>
      <name val="맑은 고딕"/>
      <family val="3"/>
      <charset val="129"/>
    </font>
    <font>
      <b/>
      <sz val="20"/>
      <color rgb="FF10B981"/>
      <name val="맑은 고딕"/>
      <family val="3"/>
      <charset val="129"/>
    </font>
    <font>
      <b/>
      <sz val="20"/>
      <color rgb="FFA855F7"/>
      <name val="맑은 고딕"/>
      <family val="3"/>
      <charset val="129"/>
    </font>
    <font>
      <b/>
      <sz val="20"/>
      <color rgb="FFF97316"/>
      <name val="맑은 고딕"/>
      <family val="3"/>
      <charset val="129"/>
    </font>
    <font>
      <b/>
      <sz val="20"/>
      <color rgb="FF1F2937"/>
      <name val="맑은 고딕"/>
      <family val="3"/>
      <charset val="129"/>
    </font>
    <font>
      <b/>
      <sz val="13"/>
      <color rgb="FFFF5C2B"/>
      <name val="맑은 고딕"/>
      <family val="3"/>
      <charset val="129"/>
    </font>
    <font>
      <b/>
      <sz val="10"/>
      <color rgb="FF84807A"/>
      <name val="맑은 고딕"/>
      <family val="3"/>
      <charset val="129"/>
    </font>
    <font>
      <b/>
      <sz val="24"/>
      <color rgb="FF1A1614"/>
      <name val="맑은 고딕"/>
      <family val="3"/>
      <charset val="129"/>
    </font>
    <font>
      <b/>
      <sz val="24"/>
      <color rgb="FF0BA591"/>
      <name val="맑은 고딕"/>
      <family val="3"/>
      <charset val="129"/>
    </font>
    <font>
      <b/>
      <sz val="24"/>
      <color rgb="FFFF0033"/>
      <name val="맑은 고딕"/>
      <family val="3"/>
      <charset val="129"/>
    </font>
    <font>
      <b/>
      <sz val="11"/>
      <color rgb="FF0BA591"/>
      <name val="맑은 고딕"/>
      <family val="3"/>
      <charset val="129"/>
    </font>
    <font>
      <sz val="11"/>
      <color rgb="FFB45309"/>
      <name val="맑은 고딕"/>
      <family val="3"/>
      <charset val="129"/>
    </font>
    <font>
      <sz val="11"/>
      <color rgb="FF84807A"/>
      <name val="맑은 고딕"/>
      <family val="3"/>
      <charset val="129"/>
    </font>
    <font>
      <b/>
      <sz val="11"/>
      <color rgb="FFFF0033"/>
      <name val="맑은 고딕"/>
      <family val="3"/>
      <charset val="129"/>
    </font>
    <font>
      <b/>
      <sz val="12"/>
      <color rgb="FFFF5C2B"/>
      <name val="맑은 고딕"/>
      <family val="3"/>
      <charset val="129"/>
    </font>
    <font>
      <b/>
      <sz val="14"/>
      <color rgb="FFFF5C2B"/>
      <name val="맑은 고딕"/>
      <family val="3"/>
      <charset val="129"/>
    </font>
    <font>
      <sz val="11"/>
      <color rgb="FF4A4744"/>
      <name val="맑은 고딕"/>
      <family val="3"/>
      <charset val="129"/>
    </font>
    <font>
      <sz val="11"/>
      <color rgb="FF0046A8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A1614"/>
      </patternFill>
    </fill>
    <fill>
      <patternFill patternType="solid">
        <fgColor rgb="FFF6F3EC"/>
      </patternFill>
    </fill>
    <fill>
      <patternFill patternType="solid">
        <fgColor rgb="FFE6F2FF"/>
      </patternFill>
    </fill>
    <fill>
      <patternFill patternType="solid">
        <fgColor rgb="FFFFE8DD"/>
      </patternFill>
    </fill>
    <fill>
      <patternFill patternType="solid">
        <fgColor rgb="FFF0EDE6"/>
      </patternFill>
    </fill>
    <fill>
      <patternFill patternType="solid">
        <fgColor rgb="FFFFF4D6"/>
      </patternFill>
    </fill>
    <fill>
      <patternFill patternType="solid">
        <fgColor rgb="FFD4EDDA"/>
      </patternFill>
    </fill>
    <fill>
      <patternFill patternType="solid">
        <fgColor rgb="FFF8D7DA"/>
      </patternFill>
    </fill>
    <fill>
      <patternFill patternType="solid">
        <fgColor rgb="FFECECEC"/>
      </patternFill>
    </fill>
  </fills>
  <borders count="3">
    <border>
      <left/>
      <right/>
      <top/>
      <bottom/>
      <diagonal/>
    </border>
    <border>
      <left style="thin">
        <color rgb="FF1A1614"/>
      </left>
      <right style="thin">
        <color rgb="FF1A1614"/>
      </right>
      <top style="thin">
        <color rgb="FF1A1614"/>
      </top>
      <bottom style="thin">
        <color rgb="FF1A1614"/>
      </bottom>
      <diagonal/>
    </border>
    <border>
      <left style="thin">
        <color rgb="FFE6E2DB"/>
      </left>
      <right style="thin">
        <color rgb="FFE6E2DB"/>
      </right>
      <top style="thin">
        <color rgb="FFE6E2DB"/>
      </top>
      <bottom style="thin">
        <color rgb="FFE6E2DB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9" fontId="11" fillId="3" borderId="0" xfId="0" applyNumberFormat="1" applyFont="1" applyFill="1"/>
    <xf numFmtId="0" fontId="11" fillId="3" borderId="0" xfId="0" applyFont="1" applyFill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 wrapText="1"/>
    </xf>
    <xf numFmtId="9" fontId="11" fillId="3" borderId="2" xfId="0" applyNumberFormat="1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" fillId="0" borderId="0" xfId="0" applyFont="1"/>
    <xf numFmtId="0" fontId="12" fillId="3" borderId="2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center" vertical="center" wrapText="1"/>
    </xf>
    <xf numFmtId="0" fontId="19" fillId="3" borderId="2" xfId="0" applyFont="1" applyFill="1" applyBorder="1" applyAlignment="1">
      <alignment horizontal="center" vertical="center" wrapText="1"/>
    </xf>
    <xf numFmtId="0" fontId="20" fillId="3" borderId="2" xfId="0" applyFont="1" applyFill="1" applyBorder="1" applyAlignment="1">
      <alignment horizontal="center" vertical="center" wrapText="1"/>
    </xf>
    <xf numFmtId="0" fontId="21" fillId="0" borderId="0" xfId="0" applyFont="1"/>
    <xf numFmtId="0" fontId="22" fillId="3" borderId="2" xfId="0" applyFont="1" applyFill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left" vertical="center" wrapText="1"/>
    </xf>
    <xf numFmtId="0" fontId="26" fillId="0" borderId="2" xfId="0" applyFont="1" applyBorder="1" applyAlignment="1">
      <alignment horizontal="center" vertical="center" wrapText="1"/>
    </xf>
    <xf numFmtId="0" fontId="27" fillId="0" borderId="2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 wrapText="1"/>
    </xf>
    <xf numFmtId="0" fontId="30" fillId="5" borderId="2" xfId="0" applyFont="1" applyFill="1" applyBorder="1" applyAlignment="1">
      <alignment horizontal="left" vertical="center" wrapText="1"/>
    </xf>
    <xf numFmtId="9" fontId="31" fillId="5" borderId="2" xfId="0" applyNumberFormat="1" applyFont="1" applyFill="1" applyBorder="1" applyAlignment="1">
      <alignment horizontal="center" vertical="center" wrapText="1"/>
    </xf>
    <xf numFmtId="0" fontId="32" fillId="0" borderId="2" xfId="0" applyFont="1" applyBorder="1" applyAlignment="1">
      <alignment horizontal="left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 wrapText="1"/>
    </xf>
    <xf numFmtId="0" fontId="11" fillId="9" borderId="2" xfId="0" applyFont="1" applyFill="1" applyBorder="1" applyAlignment="1">
      <alignment horizontal="center" vertical="center" wrapText="1"/>
    </xf>
    <xf numFmtId="0" fontId="11" fillId="10" borderId="2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33" fillId="0" borderId="0" xfId="0" applyFont="1" applyAlignment="1">
      <alignment horizontal="left" vertical="center" wrapText="1"/>
    </xf>
    <xf numFmtId="0" fontId="32" fillId="0" borderId="0" xfId="0" applyFont="1" applyAlignment="1">
      <alignment horizontal="left" vertical="center" wrapText="1"/>
    </xf>
    <xf numFmtId="0" fontId="0" fillId="0" borderId="0" xfId="0"/>
  </cellXfs>
  <cellStyles count="1">
    <cellStyle name="표준" xfId="0" builtinId="0"/>
  </cellStyles>
  <dxfs count="9">
    <dxf>
      <fill>
        <patternFill patternType="solid">
          <fgColor rgb="FFF0EDE6"/>
        </patternFill>
      </fill>
    </dxf>
    <dxf>
      <fill>
        <patternFill patternType="solid">
          <fgColor rgb="FFFFF4D6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ECECEC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FFF4D6"/>
        </patternFill>
      </fill>
    </dxf>
    <dxf>
      <fill>
        <patternFill patternType="solid">
          <fgColor rgb="FFF0EDE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blankers2.github.io/HTML-checker-dist/" TargetMode="External"/><Relationship Id="rId13" Type="http://schemas.openxmlformats.org/officeDocument/2006/relationships/hyperlink" Target="https://blankers2.github.io/HTML-checker-dist/" TargetMode="External"/><Relationship Id="rId18" Type="http://schemas.openxmlformats.org/officeDocument/2006/relationships/hyperlink" Target="https://blankers2.github.io/HTML-checker-dist/" TargetMode="External"/><Relationship Id="rId26" Type="http://schemas.openxmlformats.org/officeDocument/2006/relationships/hyperlink" Target="https://blankers2.github.io/HTML-checker-dist/" TargetMode="External"/><Relationship Id="rId3" Type="http://schemas.openxmlformats.org/officeDocument/2006/relationships/hyperlink" Target="https://blankers2.github.io/HTML-checker-dist/" TargetMode="External"/><Relationship Id="rId21" Type="http://schemas.openxmlformats.org/officeDocument/2006/relationships/hyperlink" Target="https://blankers2.github.io/HTML-checker-dist/" TargetMode="External"/><Relationship Id="rId7" Type="http://schemas.openxmlformats.org/officeDocument/2006/relationships/hyperlink" Target="https://blankers2.github.io/HTML-checker-dist/" TargetMode="External"/><Relationship Id="rId12" Type="http://schemas.openxmlformats.org/officeDocument/2006/relationships/hyperlink" Target="https://blankers2.github.io/HTML-checker-dist/" TargetMode="External"/><Relationship Id="rId17" Type="http://schemas.openxmlformats.org/officeDocument/2006/relationships/hyperlink" Target="https://blankers2.github.io/HTML-checker-dist/" TargetMode="External"/><Relationship Id="rId25" Type="http://schemas.openxmlformats.org/officeDocument/2006/relationships/hyperlink" Target="https://blankers2.github.io/HTML-checker-dist/" TargetMode="External"/><Relationship Id="rId2" Type="http://schemas.openxmlformats.org/officeDocument/2006/relationships/hyperlink" Target="https://blankers2.github.io/HTML-checker-dist/" TargetMode="External"/><Relationship Id="rId16" Type="http://schemas.openxmlformats.org/officeDocument/2006/relationships/hyperlink" Target="https://blankers2.github.io/HTML-checker-dist/" TargetMode="External"/><Relationship Id="rId20" Type="http://schemas.openxmlformats.org/officeDocument/2006/relationships/hyperlink" Target="https://blankers2.github.io/HTML-checker-dist/" TargetMode="External"/><Relationship Id="rId29" Type="http://schemas.openxmlformats.org/officeDocument/2006/relationships/hyperlink" Target="https://blankers2.github.io/HTML-checker-dist/" TargetMode="External"/><Relationship Id="rId1" Type="http://schemas.openxmlformats.org/officeDocument/2006/relationships/hyperlink" Target="https://blankers2.github.io/HTML-checker-dist/" TargetMode="External"/><Relationship Id="rId6" Type="http://schemas.openxmlformats.org/officeDocument/2006/relationships/hyperlink" Target="https://blankers2.github.io/HTML-checker-dist/" TargetMode="External"/><Relationship Id="rId11" Type="http://schemas.openxmlformats.org/officeDocument/2006/relationships/hyperlink" Target="https://blankers2.github.io/HTML-checker-dist/" TargetMode="External"/><Relationship Id="rId24" Type="http://schemas.openxmlformats.org/officeDocument/2006/relationships/hyperlink" Target="https://blankers2.github.io/HTML-checker-dist/" TargetMode="External"/><Relationship Id="rId5" Type="http://schemas.openxmlformats.org/officeDocument/2006/relationships/hyperlink" Target="https://blankers2.github.io/HTML-checker-dist/" TargetMode="External"/><Relationship Id="rId15" Type="http://schemas.openxmlformats.org/officeDocument/2006/relationships/hyperlink" Target="https://blankers2.github.io/HTML-checker-dist/" TargetMode="External"/><Relationship Id="rId23" Type="http://schemas.openxmlformats.org/officeDocument/2006/relationships/hyperlink" Target="https://blankers2.github.io/HTML-checker-dist/" TargetMode="External"/><Relationship Id="rId28" Type="http://schemas.openxmlformats.org/officeDocument/2006/relationships/hyperlink" Target="https://blankers2.github.io/HTML-checker-dist/" TargetMode="External"/><Relationship Id="rId10" Type="http://schemas.openxmlformats.org/officeDocument/2006/relationships/hyperlink" Target="https://blankers2.github.io/HTML-checker-dist/" TargetMode="External"/><Relationship Id="rId19" Type="http://schemas.openxmlformats.org/officeDocument/2006/relationships/hyperlink" Target="https://blankers2.github.io/HTML-checker-dist/" TargetMode="External"/><Relationship Id="rId4" Type="http://schemas.openxmlformats.org/officeDocument/2006/relationships/hyperlink" Target="https://blankers2.github.io/HTML-checker-dist/" TargetMode="External"/><Relationship Id="rId9" Type="http://schemas.openxmlformats.org/officeDocument/2006/relationships/hyperlink" Target="https://blankers2.github.io/HTML-checker-dist/" TargetMode="External"/><Relationship Id="rId14" Type="http://schemas.openxmlformats.org/officeDocument/2006/relationships/hyperlink" Target="https://blankers2.github.io/HTML-checker-dist/" TargetMode="External"/><Relationship Id="rId22" Type="http://schemas.openxmlformats.org/officeDocument/2006/relationships/hyperlink" Target="https://blankers2.github.io/HTML-checker-dist/" TargetMode="External"/><Relationship Id="rId27" Type="http://schemas.openxmlformats.org/officeDocument/2006/relationships/hyperlink" Target="https://blankers2.github.io/HTML-checker-dist/" TargetMode="External"/><Relationship Id="rId30" Type="http://schemas.openxmlformats.org/officeDocument/2006/relationships/hyperlink" Target="https://blankers2.github.io/HTML-checker-dist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blankers2.github.io/HTML-checker-dist/pitch.html" TargetMode="External"/><Relationship Id="rId2" Type="http://schemas.openxmlformats.org/officeDocument/2006/relationships/hyperlink" Target="https://github.com/Blankers2/HTML-checker-dist/blob/main/MIGRATION.md" TargetMode="External"/><Relationship Id="rId1" Type="http://schemas.openxmlformats.org/officeDocument/2006/relationships/hyperlink" Target="https://blankers2.github.io/HTML-checker-dis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5"/>
  <sheetViews>
    <sheetView tabSelected="1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7.399999999999999" x14ac:dyDescent="0.4"/>
  <cols>
    <col min="1" max="1" width="14" customWidth="1"/>
    <col min="2" max="2" width="28" customWidth="1"/>
    <col min="3" max="3" width="12" customWidth="1"/>
    <col min="4" max="4" width="10" customWidth="1"/>
    <col min="5" max="6" width="13" customWidth="1"/>
    <col min="7" max="7" width="14" customWidth="1"/>
    <col min="8" max="10" width="13" customWidth="1"/>
    <col min="11" max="11" width="12" customWidth="1"/>
    <col min="12" max="12" width="9" customWidth="1"/>
    <col min="13" max="13" width="11" customWidth="1"/>
    <col min="14" max="14" width="35" customWidth="1"/>
    <col min="15" max="15" width="22" customWidth="1"/>
  </cols>
  <sheetData>
    <row r="1" spans="1:15" ht="31.95" customHeight="1" x14ac:dyDescent="0.4">
      <c r="A1" s="1" t="s">
        <v>0</v>
      </c>
    </row>
    <row r="2" spans="1:15" ht="18" customHeight="1" x14ac:dyDescent="0.4">
      <c r="A2" s="2" t="s">
        <v>1</v>
      </c>
    </row>
    <row r="4" spans="1:15" ht="36" customHeight="1" x14ac:dyDescent="0.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</row>
    <row r="5" spans="1:15" ht="18" customHeight="1" x14ac:dyDescent="0.4">
      <c r="A5" s="4" t="s">
        <v>17</v>
      </c>
      <c r="B5" s="4" t="s">
        <v>17</v>
      </c>
      <c r="C5" s="4" t="s">
        <v>17</v>
      </c>
      <c r="D5" s="4" t="s">
        <v>17</v>
      </c>
      <c r="E5" s="4" t="s">
        <v>18</v>
      </c>
      <c r="F5" s="4" t="s">
        <v>18</v>
      </c>
      <c r="G5" s="5" t="s">
        <v>19</v>
      </c>
      <c r="H5" s="5" t="s">
        <v>19</v>
      </c>
      <c r="I5" s="4" t="s">
        <v>18</v>
      </c>
      <c r="J5" s="4" t="s">
        <v>18</v>
      </c>
      <c r="K5" s="4" t="s">
        <v>18</v>
      </c>
      <c r="L5" s="6" t="s">
        <v>20</v>
      </c>
      <c r="M5" s="6" t="s">
        <v>20</v>
      </c>
      <c r="N5" s="4" t="s">
        <v>21</v>
      </c>
      <c r="O5" s="4" t="s">
        <v>22</v>
      </c>
    </row>
    <row r="6" spans="1:15" ht="25.95" customHeight="1" x14ac:dyDescent="0.4">
      <c r="A6" s="7" t="s">
        <v>23</v>
      </c>
      <c r="B6" s="7" t="s">
        <v>24</v>
      </c>
      <c r="C6" s="8" t="s">
        <v>25</v>
      </c>
      <c r="D6" s="8" t="s">
        <v>26</v>
      </c>
      <c r="E6" s="8" t="s">
        <v>27</v>
      </c>
      <c r="F6" s="8" t="s">
        <v>27</v>
      </c>
      <c r="G6" s="8" t="s">
        <v>27</v>
      </c>
      <c r="H6" s="8" t="s">
        <v>27</v>
      </c>
      <c r="I6" s="8" t="s">
        <v>28</v>
      </c>
      <c r="J6" s="8" t="s">
        <v>29</v>
      </c>
      <c r="K6" s="8" t="s">
        <v>29</v>
      </c>
      <c r="L6" s="9">
        <f t="shared" ref="L6:L35" si="0">IF(A6="","",IFERROR(COUNTIF(E6:K6,"완료")/7,0))</f>
        <v>0.5714285714285714</v>
      </c>
      <c r="M6" s="10" t="str">
        <f t="shared" ref="M6:M35" si="1">IF(A6="","",IF(COUNTIF(E6:K6,"이슈")&gt;0,"⚠ 이슈",IF(COUNTIF(E6:K6,"완료")=7,"✅ 완료",IF(COUNTIF(E6:K6,"진행중")&gt;0,"🔄 진행중","⏳ 대기"))))</f>
        <v>🔄 진행중</v>
      </c>
      <c r="N6" s="11" t="s">
        <v>30</v>
      </c>
      <c r="O6" s="12" t="s">
        <v>31</v>
      </c>
    </row>
    <row r="7" spans="1:15" ht="25.95" customHeight="1" x14ac:dyDescent="0.4">
      <c r="A7" s="7"/>
      <c r="B7" s="7"/>
      <c r="C7" s="8"/>
      <c r="D7" s="8"/>
      <c r="E7" s="8"/>
      <c r="F7" s="8"/>
      <c r="G7" s="8"/>
      <c r="H7" s="8"/>
      <c r="I7" s="8"/>
      <c r="J7" s="8"/>
      <c r="K7" s="8"/>
      <c r="L7" s="13" t="str">
        <f t="shared" si="0"/>
        <v/>
      </c>
      <c r="M7" s="14" t="str">
        <f t="shared" si="1"/>
        <v/>
      </c>
      <c r="N7" s="8"/>
      <c r="O7" s="15" t="s">
        <v>31</v>
      </c>
    </row>
    <row r="8" spans="1:15" ht="25.95" customHeight="1" x14ac:dyDescent="0.4">
      <c r="A8" s="7"/>
      <c r="B8" s="7"/>
      <c r="C8" s="8"/>
      <c r="D8" s="8"/>
      <c r="E8" s="8"/>
      <c r="F8" s="8"/>
      <c r="G8" s="8"/>
      <c r="H8" s="8"/>
      <c r="I8" s="8"/>
      <c r="J8" s="8"/>
      <c r="K8" s="8"/>
      <c r="L8" s="13" t="str">
        <f t="shared" si="0"/>
        <v/>
      </c>
      <c r="M8" s="14" t="str">
        <f t="shared" si="1"/>
        <v/>
      </c>
      <c r="N8" s="8"/>
      <c r="O8" s="15" t="s">
        <v>31</v>
      </c>
    </row>
    <row r="9" spans="1:15" ht="25.95" customHeight="1" x14ac:dyDescent="0.4">
      <c r="A9" s="7"/>
      <c r="B9" s="7"/>
      <c r="C9" s="8"/>
      <c r="D9" s="8"/>
      <c r="E9" s="8"/>
      <c r="F9" s="8"/>
      <c r="G9" s="8"/>
      <c r="H9" s="8"/>
      <c r="I9" s="8"/>
      <c r="J9" s="8"/>
      <c r="K9" s="8"/>
      <c r="L9" s="13" t="str">
        <f t="shared" si="0"/>
        <v/>
      </c>
      <c r="M9" s="14" t="str">
        <f t="shared" si="1"/>
        <v/>
      </c>
      <c r="N9" s="8"/>
      <c r="O9" s="15" t="s">
        <v>31</v>
      </c>
    </row>
    <row r="10" spans="1:15" ht="25.95" customHeight="1" x14ac:dyDescent="0.4">
      <c r="A10" s="7"/>
      <c r="B10" s="7"/>
      <c r="C10" s="8"/>
      <c r="D10" s="8"/>
      <c r="E10" s="8"/>
      <c r="F10" s="8"/>
      <c r="G10" s="8"/>
      <c r="H10" s="8"/>
      <c r="I10" s="8"/>
      <c r="J10" s="8"/>
      <c r="K10" s="8"/>
      <c r="L10" s="13" t="str">
        <f t="shared" si="0"/>
        <v/>
      </c>
      <c r="M10" s="14" t="str">
        <f t="shared" si="1"/>
        <v/>
      </c>
      <c r="N10" s="8"/>
      <c r="O10" s="15" t="s">
        <v>31</v>
      </c>
    </row>
    <row r="11" spans="1:15" ht="25.95" customHeight="1" x14ac:dyDescent="0.4">
      <c r="A11" s="7"/>
      <c r="B11" s="7"/>
      <c r="C11" s="8"/>
      <c r="D11" s="8"/>
      <c r="E11" s="8"/>
      <c r="F11" s="8"/>
      <c r="G11" s="8"/>
      <c r="H11" s="8"/>
      <c r="I11" s="8"/>
      <c r="J11" s="8"/>
      <c r="K11" s="8"/>
      <c r="L11" s="13" t="str">
        <f t="shared" si="0"/>
        <v/>
      </c>
      <c r="M11" s="14" t="str">
        <f t="shared" si="1"/>
        <v/>
      </c>
      <c r="N11" s="8"/>
      <c r="O11" s="15" t="s">
        <v>31</v>
      </c>
    </row>
    <row r="12" spans="1:15" ht="25.95" customHeight="1" x14ac:dyDescent="0.4">
      <c r="A12" s="7"/>
      <c r="B12" s="7"/>
      <c r="C12" s="8"/>
      <c r="D12" s="8"/>
      <c r="E12" s="8"/>
      <c r="F12" s="8"/>
      <c r="G12" s="8"/>
      <c r="H12" s="8"/>
      <c r="I12" s="8"/>
      <c r="J12" s="8"/>
      <c r="K12" s="8"/>
      <c r="L12" s="13" t="str">
        <f t="shared" si="0"/>
        <v/>
      </c>
      <c r="M12" s="14" t="str">
        <f t="shared" si="1"/>
        <v/>
      </c>
      <c r="N12" s="8"/>
      <c r="O12" s="15" t="s">
        <v>31</v>
      </c>
    </row>
    <row r="13" spans="1:15" ht="25.95" customHeight="1" x14ac:dyDescent="0.4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13" t="str">
        <f t="shared" si="0"/>
        <v/>
      </c>
      <c r="M13" s="14" t="str">
        <f t="shared" si="1"/>
        <v/>
      </c>
      <c r="N13" s="8"/>
      <c r="O13" s="15" t="s">
        <v>31</v>
      </c>
    </row>
    <row r="14" spans="1:15" ht="25.95" customHeight="1" x14ac:dyDescent="0.4">
      <c r="A14" s="7"/>
      <c r="B14" s="7"/>
      <c r="C14" s="8"/>
      <c r="D14" s="8"/>
      <c r="E14" s="8"/>
      <c r="F14" s="8"/>
      <c r="G14" s="8"/>
      <c r="H14" s="8"/>
      <c r="I14" s="8"/>
      <c r="J14" s="8"/>
      <c r="K14" s="8"/>
      <c r="L14" s="13" t="str">
        <f t="shared" si="0"/>
        <v/>
      </c>
      <c r="M14" s="14" t="str">
        <f t="shared" si="1"/>
        <v/>
      </c>
      <c r="N14" s="8"/>
      <c r="O14" s="15" t="s">
        <v>31</v>
      </c>
    </row>
    <row r="15" spans="1:15" ht="25.95" customHeight="1" x14ac:dyDescent="0.4">
      <c r="A15" s="7"/>
      <c r="B15" s="7"/>
      <c r="C15" s="8"/>
      <c r="D15" s="8"/>
      <c r="E15" s="8"/>
      <c r="F15" s="8"/>
      <c r="G15" s="8"/>
      <c r="H15" s="8"/>
      <c r="I15" s="8"/>
      <c r="J15" s="8"/>
      <c r="K15" s="8"/>
      <c r="L15" s="13" t="str">
        <f t="shared" si="0"/>
        <v/>
      </c>
      <c r="M15" s="14" t="str">
        <f t="shared" si="1"/>
        <v/>
      </c>
      <c r="N15" s="8"/>
      <c r="O15" s="15" t="s">
        <v>31</v>
      </c>
    </row>
    <row r="16" spans="1:15" ht="25.95" customHeight="1" x14ac:dyDescent="0.4">
      <c r="A16" s="7"/>
      <c r="B16" s="7"/>
      <c r="C16" s="8"/>
      <c r="D16" s="8"/>
      <c r="E16" s="8"/>
      <c r="F16" s="8"/>
      <c r="G16" s="8"/>
      <c r="H16" s="8"/>
      <c r="I16" s="8"/>
      <c r="J16" s="8"/>
      <c r="K16" s="8"/>
      <c r="L16" s="13" t="str">
        <f t="shared" si="0"/>
        <v/>
      </c>
      <c r="M16" s="14" t="str">
        <f t="shared" si="1"/>
        <v/>
      </c>
      <c r="N16" s="8"/>
      <c r="O16" s="15" t="s">
        <v>31</v>
      </c>
    </row>
    <row r="17" spans="1:15" ht="25.95" customHeight="1" x14ac:dyDescent="0.4">
      <c r="A17" s="7"/>
      <c r="B17" s="7"/>
      <c r="C17" s="8"/>
      <c r="D17" s="8"/>
      <c r="E17" s="8"/>
      <c r="F17" s="8"/>
      <c r="G17" s="8"/>
      <c r="H17" s="8"/>
      <c r="I17" s="8"/>
      <c r="J17" s="8"/>
      <c r="K17" s="8"/>
      <c r="L17" s="13" t="str">
        <f t="shared" si="0"/>
        <v/>
      </c>
      <c r="M17" s="14" t="str">
        <f t="shared" si="1"/>
        <v/>
      </c>
      <c r="N17" s="8"/>
      <c r="O17" s="15" t="s">
        <v>31</v>
      </c>
    </row>
    <row r="18" spans="1:15" ht="25.95" customHeight="1" x14ac:dyDescent="0.4">
      <c r="A18" s="7"/>
      <c r="B18" s="7"/>
      <c r="C18" s="8"/>
      <c r="D18" s="8"/>
      <c r="E18" s="8"/>
      <c r="F18" s="8"/>
      <c r="G18" s="8"/>
      <c r="H18" s="8"/>
      <c r="I18" s="8"/>
      <c r="J18" s="8"/>
      <c r="K18" s="8"/>
      <c r="L18" s="13" t="str">
        <f t="shared" si="0"/>
        <v/>
      </c>
      <c r="M18" s="14" t="str">
        <f t="shared" si="1"/>
        <v/>
      </c>
      <c r="N18" s="8"/>
      <c r="O18" s="15" t="s">
        <v>31</v>
      </c>
    </row>
    <row r="19" spans="1:15" ht="25.95" customHeight="1" x14ac:dyDescent="0.4">
      <c r="A19" s="7"/>
      <c r="B19" s="7"/>
      <c r="C19" s="8"/>
      <c r="D19" s="8"/>
      <c r="E19" s="8"/>
      <c r="F19" s="8"/>
      <c r="G19" s="8"/>
      <c r="H19" s="8"/>
      <c r="I19" s="8"/>
      <c r="J19" s="8"/>
      <c r="K19" s="8"/>
      <c r="L19" s="13" t="str">
        <f t="shared" si="0"/>
        <v/>
      </c>
      <c r="M19" s="14" t="str">
        <f t="shared" si="1"/>
        <v/>
      </c>
      <c r="N19" s="8"/>
      <c r="O19" s="15" t="s">
        <v>31</v>
      </c>
    </row>
    <row r="20" spans="1:15" ht="25.95" customHeight="1" x14ac:dyDescent="0.4">
      <c r="A20" s="7"/>
      <c r="B20" s="7"/>
      <c r="C20" s="8"/>
      <c r="D20" s="8"/>
      <c r="E20" s="8"/>
      <c r="F20" s="8"/>
      <c r="G20" s="8"/>
      <c r="H20" s="8"/>
      <c r="I20" s="8"/>
      <c r="J20" s="8"/>
      <c r="K20" s="8"/>
      <c r="L20" s="13" t="str">
        <f t="shared" si="0"/>
        <v/>
      </c>
      <c r="M20" s="14" t="str">
        <f t="shared" si="1"/>
        <v/>
      </c>
      <c r="N20" s="8"/>
      <c r="O20" s="15" t="s">
        <v>31</v>
      </c>
    </row>
    <row r="21" spans="1:15" ht="25.95" customHeight="1" x14ac:dyDescent="0.4">
      <c r="A21" s="7"/>
      <c r="B21" s="7"/>
      <c r="C21" s="8"/>
      <c r="D21" s="8"/>
      <c r="E21" s="8"/>
      <c r="F21" s="8"/>
      <c r="G21" s="8"/>
      <c r="H21" s="8"/>
      <c r="I21" s="8"/>
      <c r="J21" s="8"/>
      <c r="K21" s="8"/>
      <c r="L21" s="13" t="str">
        <f t="shared" si="0"/>
        <v/>
      </c>
      <c r="M21" s="14" t="str">
        <f t="shared" si="1"/>
        <v/>
      </c>
      <c r="N21" s="8"/>
      <c r="O21" s="15" t="s">
        <v>31</v>
      </c>
    </row>
    <row r="22" spans="1:15" ht="25.95" customHeight="1" x14ac:dyDescent="0.4">
      <c r="A22" s="7"/>
      <c r="B22" s="7"/>
      <c r="C22" s="8"/>
      <c r="D22" s="8"/>
      <c r="E22" s="8"/>
      <c r="F22" s="8"/>
      <c r="G22" s="8"/>
      <c r="H22" s="8"/>
      <c r="I22" s="8"/>
      <c r="J22" s="8"/>
      <c r="K22" s="8"/>
      <c r="L22" s="13" t="str">
        <f t="shared" si="0"/>
        <v/>
      </c>
      <c r="M22" s="14" t="str">
        <f t="shared" si="1"/>
        <v/>
      </c>
      <c r="N22" s="8"/>
      <c r="O22" s="15" t="s">
        <v>31</v>
      </c>
    </row>
    <row r="23" spans="1:15" ht="25.95" customHeight="1" x14ac:dyDescent="0.4">
      <c r="A23" s="7"/>
      <c r="B23" s="7"/>
      <c r="C23" s="8"/>
      <c r="D23" s="8"/>
      <c r="E23" s="8"/>
      <c r="F23" s="8"/>
      <c r="G23" s="8"/>
      <c r="H23" s="8"/>
      <c r="I23" s="8"/>
      <c r="J23" s="8"/>
      <c r="K23" s="8"/>
      <c r="L23" s="13" t="str">
        <f t="shared" si="0"/>
        <v/>
      </c>
      <c r="M23" s="14" t="str">
        <f t="shared" si="1"/>
        <v/>
      </c>
      <c r="N23" s="8"/>
      <c r="O23" s="15" t="s">
        <v>31</v>
      </c>
    </row>
    <row r="24" spans="1:15" ht="25.95" customHeight="1" x14ac:dyDescent="0.4">
      <c r="A24" s="7"/>
      <c r="B24" s="7"/>
      <c r="C24" s="8"/>
      <c r="D24" s="8"/>
      <c r="E24" s="8"/>
      <c r="F24" s="8"/>
      <c r="G24" s="8"/>
      <c r="H24" s="8"/>
      <c r="I24" s="8"/>
      <c r="J24" s="8"/>
      <c r="K24" s="8"/>
      <c r="L24" s="13" t="str">
        <f t="shared" si="0"/>
        <v/>
      </c>
      <c r="M24" s="14" t="str">
        <f t="shared" si="1"/>
        <v/>
      </c>
      <c r="N24" s="8"/>
      <c r="O24" s="15" t="s">
        <v>31</v>
      </c>
    </row>
    <row r="25" spans="1:15" ht="25.95" customHeight="1" x14ac:dyDescent="0.4">
      <c r="A25" s="7"/>
      <c r="B25" s="7"/>
      <c r="C25" s="8"/>
      <c r="D25" s="8"/>
      <c r="E25" s="8"/>
      <c r="F25" s="8"/>
      <c r="G25" s="8"/>
      <c r="H25" s="8"/>
      <c r="I25" s="8"/>
      <c r="J25" s="8"/>
      <c r="K25" s="8"/>
      <c r="L25" s="13" t="str">
        <f t="shared" si="0"/>
        <v/>
      </c>
      <c r="M25" s="14" t="str">
        <f t="shared" si="1"/>
        <v/>
      </c>
      <c r="N25" s="8"/>
      <c r="O25" s="15" t="s">
        <v>31</v>
      </c>
    </row>
    <row r="26" spans="1:15" ht="25.95" customHeight="1" x14ac:dyDescent="0.4">
      <c r="A26" s="7"/>
      <c r="B26" s="7"/>
      <c r="C26" s="8"/>
      <c r="D26" s="8"/>
      <c r="E26" s="8"/>
      <c r="F26" s="8"/>
      <c r="G26" s="8"/>
      <c r="H26" s="8"/>
      <c r="I26" s="8"/>
      <c r="J26" s="8"/>
      <c r="K26" s="8"/>
      <c r="L26" s="13" t="str">
        <f t="shared" si="0"/>
        <v/>
      </c>
      <c r="M26" s="14" t="str">
        <f t="shared" si="1"/>
        <v/>
      </c>
      <c r="N26" s="8"/>
      <c r="O26" s="15" t="s">
        <v>31</v>
      </c>
    </row>
    <row r="27" spans="1:15" ht="25.95" customHeight="1" x14ac:dyDescent="0.4">
      <c r="A27" s="7"/>
      <c r="B27" s="7"/>
      <c r="C27" s="8"/>
      <c r="D27" s="8"/>
      <c r="E27" s="8"/>
      <c r="F27" s="8"/>
      <c r="G27" s="8"/>
      <c r="H27" s="8"/>
      <c r="I27" s="8"/>
      <c r="J27" s="8"/>
      <c r="K27" s="8"/>
      <c r="L27" s="13" t="str">
        <f t="shared" si="0"/>
        <v/>
      </c>
      <c r="M27" s="14" t="str">
        <f t="shared" si="1"/>
        <v/>
      </c>
      <c r="N27" s="8"/>
      <c r="O27" s="15" t="s">
        <v>31</v>
      </c>
    </row>
    <row r="28" spans="1:15" ht="25.95" customHeight="1" x14ac:dyDescent="0.4">
      <c r="A28" s="7"/>
      <c r="B28" s="7"/>
      <c r="C28" s="8"/>
      <c r="D28" s="8"/>
      <c r="E28" s="8"/>
      <c r="F28" s="8"/>
      <c r="G28" s="8"/>
      <c r="H28" s="8"/>
      <c r="I28" s="8"/>
      <c r="J28" s="8"/>
      <c r="K28" s="8"/>
      <c r="L28" s="13" t="str">
        <f t="shared" si="0"/>
        <v/>
      </c>
      <c r="M28" s="14" t="str">
        <f t="shared" si="1"/>
        <v/>
      </c>
      <c r="N28" s="8"/>
      <c r="O28" s="15" t="s">
        <v>31</v>
      </c>
    </row>
    <row r="29" spans="1:15" ht="25.95" customHeight="1" x14ac:dyDescent="0.4">
      <c r="A29" s="7"/>
      <c r="B29" s="7"/>
      <c r="C29" s="8"/>
      <c r="D29" s="8"/>
      <c r="E29" s="8"/>
      <c r="F29" s="8"/>
      <c r="G29" s="8"/>
      <c r="H29" s="8"/>
      <c r="I29" s="8"/>
      <c r="J29" s="8"/>
      <c r="K29" s="8"/>
      <c r="L29" s="13" t="str">
        <f t="shared" si="0"/>
        <v/>
      </c>
      <c r="M29" s="14" t="str">
        <f t="shared" si="1"/>
        <v/>
      </c>
      <c r="N29" s="8"/>
      <c r="O29" s="15" t="s">
        <v>31</v>
      </c>
    </row>
    <row r="30" spans="1:15" ht="25.95" customHeight="1" x14ac:dyDescent="0.4">
      <c r="A30" s="7"/>
      <c r="B30" s="7"/>
      <c r="C30" s="8"/>
      <c r="D30" s="8"/>
      <c r="E30" s="8"/>
      <c r="F30" s="8"/>
      <c r="G30" s="8"/>
      <c r="H30" s="8"/>
      <c r="I30" s="8"/>
      <c r="J30" s="8"/>
      <c r="K30" s="8"/>
      <c r="L30" s="13" t="str">
        <f t="shared" si="0"/>
        <v/>
      </c>
      <c r="M30" s="14" t="str">
        <f t="shared" si="1"/>
        <v/>
      </c>
      <c r="N30" s="8"/>
      <c r="O30" s="15" t="s">
        <v>31</v>
      </c>
    </row>
    <row r="31" spans="1:15" ht="25.95" customHeight="1" x14ac:dyDescent="0.4">
      <c r="A31" s="7"/>
      <c r="B31" s="7"/>
      <c r="C31" s="8"/>
      <c r="D31" s="8"/>
      <c r="E31" s="8"/>
      <c r="F31" s="8"/>
      <c r="G31" s="8"/>
      <c r="H31" s="8"/>
      <c r="I31" s="8"/>
      <c r="J31" s="8"/>
      <c r="K31" s="8"/>
      <c r="L31" s="13" t="str">
        <f t="shared" si="0"/>
        <v/>
      </c>
      <c r="M31" s="14" t="str">
        <f t="shared" si="1"/>
        <v/>
      </c>
      <c r="N31" s="8"/>
      <c r="O31" s="15" t="s">
        <v>31</v>
      </c>
    </row>
    <row r="32" spans="1:15" ht="25.95" customHeight="1" x14ac:dyDescent="0.4">
      <c r="A32" s="7"/>
      <c r="B32" s="7"/>
      <c r="C32" s="8"/>
      <c r="D32" s="8"/>
      <c r="E32" s="8"/>
      <c r="F32" s="8"/>
      <c r="G32" s="8"/>
      <c r="H32" s="8"/>
      <c r="I32" s="8"/>
      <c r="J32" s="8"/>
      <c r="K32" s="8"/>
      <c r="L32" s="13" t="str">
        <f t="shared" si="0"/>
        <v/>
      </c>
      <c r="M32" s="14" t="str">
        <f t="shared" si="1"/>
        <v/>
      </c>
      <c r="N32" s="8"/>
      <c r="O32" s="15" t="s">
        <v>31</v>
      </c>
    </row>
    <row r="33" spans="1:15" ht="25.95" customHeight="1" x14ac:dyDescent="0.4">
      <c r="A33" s="7"/>
      <c r="B33" s="7"/>
      <c r="C33" s="8"/>
      <c r="D33" s="8"/>
      <c r="E33" s="8"/>
      <c r="F33" s="8"/>
      <c r="G33" s="8"/>
      <c r="H33" s="8"/>
      <c r="I33" s="8"/>
      <c r="J33" s="8"/>
      <c r="K33" s="8"/>
      <c r="L33" s="13" t="str">
        <f t="shared" si="0"/>
        <v/>
      </c>
      <c r="M33" s="14" t="str">
        <f t="shared" si="1"/>
        <v/>
      </c>
      <c r="N33" s="8"/>
      <c r="O33" s="15" t="s">
        <v>31</v>
      </c>
    </row>
    <row r="34" spans="1:15" ht="25.95" customHeight="1" x14ac:dyDescent="0.4">
      <c r="A34" s="7"/>
      <c r="B34" s="7"/>
      <c r="C34" s="8"/>
      <c r="D34" s="8"/>
      <c r="E34" s="8"/>
      <c r="F34" s="8"/>
      <c r="G34" s="8"/>
      <c r="H34" s="8"/>
      <c r="I34" s="8"/>
      <c r="J34" s="8"/>
      <c r="K34" s="8"/>
      <c r="L34" s="13" t="str">
        <f t="shared" si="0"/>
        <v/>
      </c>
      <c r="M34" s="14" t="str">
        <f t="shared" si="1"/>
        <v/>
      </c>
      <c r="N34" s="8"/>
      <c r="O34" s="15" t="s">
        <v>31</v>
      </c>
    </row>
    <row r="35" spans="1:15" ht="25.95" customHeight="1" x14ac:dyDescent="0.4">
      <c r="A35" s="7"/>
      <c r="B35" s="7"/>
      <c r="C35" s="8"/>
      <c r="D35" s="8"/>
      <c r="E35" s="8"/>
      <c r="F35" s="8"/>
      <c r="G35" s="8"/>
      <c r="H35" s="8"/>
      <c r="I35" s="8"/>
      <c r="J35" s="8"/>
      <c r="K35" s="8"/>
      <c r="L35" s="13" t="str">
        <f t="shared" si="0"/>
        <v/>
      </c>
      <c r="M35" s="14" t="str">
        <f t="shared" si="1"/>
        <v/>
      </c>
      <c r="N35" s="8"/>
      <c r="O35" s="15" t="s">
        <v>31</v>
      </c>
    </row>
  </sheetData>
  <phoneticPr fontId="34" type="noConversion"/>
  <conditionalFormatting sqref="E6:K35">
    <cfRule type="cellIs" dxfId="8" priority="1" operator="equal">
      <formula>"대기"</formula>
    </cfRule>
    <cfRule type="cellIs" dxfId="7" priority="2" operator="equal">
      <formula>"진행중"</formula>
    </cfRule>
    <cfRule type="cellIs" dxfId="6" priority="3" operator="equal">
      <formula>"완료"</formula>
    </cfRule>
    <cfRule type="cellIs" dxfId="5" priority="4" operator="equal">
      <formula>"이슈"</formula>
    </cfRule>
    <cfRule type="cellIs" dxfId="4" priority="5" operator="equal">
      <formula>"N/A"</formula>
    </cfRule>
  </conditionalFormatting>
  <conditionalFormatting sqref="M6:M35">
    <cfRule type="expression" dxfId="3" priority="6">
      <formula>$M6="✅ 완료"</formula>
    </cfRule>
    <cfRule type="expression" dxfId="2" priority="7">
      <formula>$M6="⚠ 이슈"</formula>
    </cfRule>
    <cfRule type="expression" dxfId="1" priority="8">
      <formula>$M6="🔄 진행중"</formula>
    </cfRule>
    <cfRule type="expression" dxfId="0" priority="9">
      <formula>$M6="⏳ 대기"</formula>
    </cfRule>
  </conditionalFormatting>
  <dataValidations count="1">
    <dataValidation type="list" allowBlank="1" errorTitle="잘못된 값" error="허용된 상태값을 선택하세요" sqref="E6:K35" xr:uid="{00000000-0002-0000-0000-000000000000}">
      <formula1>"대기,진행중,완료,이슈,N/A"</formula1>
    </dataValidation>
  </dataValidations>
  <hyperlinks>
    <hyperlink ref="O6" r:id="rId1" xr:uid="{00000000-0004-0000-0000-000000000000}"/>
    <hyperlink ref="O7" r:id="rId2" xr:uid="{00000000-0004-0000-0000-000001000000}"/>
    <hyperlink ref="O8" r:id="rId3" xr:uid="{00000000-0004-0000-0000-000002000000}"/>
    <hyperlink ref="O9" r:id="rId4" xr:uid="{00000000-0004-0000-0000-000003000000}"/>
    <hyperlink ref="O10" r:id="rId5" xr:uid="{00000000-0004-0000-0000-000004000000}"/>
    <hyperlink ref="O11" r:id="rId6" xr:uid="{00000000-0004-0000-0000-000005000000}"/>
    <hyperlink ref="O12" r:id="rId7" xr:uid="{00000000-0004-0000-0000-000006000000}"/>
    <hyperlink ref="O13" r:id="rId8" xr:uid="{00000000-0004-0000-0000-000007000000}"/>
    <hyperlink ref="O14" r:id="rId9" xr:uid="{00000000-0004-0000-0000-000008000000}"/>
    <hyperlink ref="O15" r:id="rId10" xr:uid="{00000000-0004-0000-0000-000009000000}"/>
    <hyperlink ref="O16" r:id="rId11" xr:uid="{00000000-0004-0000-0000-00000A000000}"/>
    <hyperlink ref="O17" r:id="rId12" xr:uid="{00000000-0004-0000-0000-00000B000000}"/>
    <hyperlink ref="O18" r:id="rId13" xr:uid="{00000000-0004-0000-0000-00000C000000}"/>
    <hyperlink ref="O19" r:id="rId14" xr:uid="{00000000-0004-0000-0000-00000D000000}"/>
    <hyperlink ref="O20" r:id="rId15" xr:uid="{00000000-0004-0000-0000-00000E000000}"/>
    <hyperlink ref="O21" r:id="rId16" xr:uid="{00000000-0004-0000-0000-00000F000000}"/>
    <hyperlink ref="O22" r:id="rId17" xr:uid="{00000000-0004-0000-0000-000010000000}"/>
    <hyperlink ref="O23" r:id="rId18" xr:uid="{00000000-0004-0000-0000-000011000000}"/>
    <hyperlink ref="O24" r:id="rId19" xr:uid="{00000000-0004-0000-0000-000012000000}"/>
    <hyperlink ref="O25" r:id="rId20" xr:uid="{00000000-0004-0000-0000-000013000000}"/>
    <hyperlink ref="O26" r:id="rId21" xr:uid="{00000000-0004-0000-0000-000014000000}"/>
    <hyperlink ref="O27" r:id="rId22" xr:uid="{00000000-0004-0000-0000-000015000000}"/>
    <hyperlink ref="O28" r:id="rId23" xr:uid="{00000000-0004-0000-0000-000016000000}"/>
    <hyperlink ref="O29" r:id="rId24" xr:uid="{00000000-0004-0000-0000-000017000000}"/>
    <hyperlink ref="O30" r:id="rId25" xr:uid="{00000000-0004-0000-0000-000018000000}"/>
    <hyperlink ref="O31" r:id="rId26" xr:uid="{00000000-0004-0000-0000-000019000000}"/>
    <hyperlink ref="O32" r:id="rId27" xr:uid="{00000000-0004-0000-0000-00001A000000}"/>
    <hyperlink ref="O33" r:id="rId28" xr:uid="{00000000-0004-0000-0000-00001B000000}"/>
    <hyperlink ref="O34" r:id="rId29" xr:uid="{00000000-0004-0000-0000-00001C000000}"/>
    <hyperlink ref="O35" r:id="rId30" xr:uid="{00000000-0004-0000-0000-00001D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>
      <pane ySplit="4" topLeftCell="A5" activePane="bottomLeft" state="frozen"/>
      <selection pane="bottomLeft"/>
    </sheetView>
  </sheetViews>
  <sheetFormatPr defaultRowHeight="17.399999999999999" x14ac:dyDescent="0.4"/>
  <cols>
    <col min="1" max="1" width="6" customWidth="1"/>
    <col min="2" max="2" width="22" customWidth="1"/>
    <col min="3" max="3" width="60" customWidth="1"/>
    <col min="4" max="4" width="10" customWidth="1"/>
    <col min="5" max="5" width="30" customWidth="1"/>
  </cols>
  <sheetData>
    <row r="1" spans="1:5" ht="31.95" customHeight="1" x14ac:dyDescent="0.6">
      <c r="A1" s="16" t="s">
        <v>32</v>
      </c>
    </row>
    <row r="2" spans="1:5" x14ac:dyDescent="0.4">
      <c r="A2" s="2" t="s">
        <v>33</v>
      </c>
    </row>
    <row r="4" spans="1:5" ht="30" customHeight="1" x14ac:dyDescent="0.4">
      <c r="A4" s="3" t="s">
        <v>34</v>
      </c>
      <c r="B4" s="3" t="s">
        <v>35</v>
      </c>
      <c r="C4" s="3" t="s">
        <v>36</v>
      </c>
      <c r="D4" s="3" t="s">
        <v>37</v>
      </c>
      <c r="E4" s="3" t="s">
        <v>38</v>
      </c>
    </row>
    <row r="5" spans="1:5" ht="94.95" customHeight="1" x14ac:dyDescent="0.4">
      <c r="A5" s="17" t="s">
        <v>39</v>
      </c>
      <c r="B5" s="18" t="s">
        <v>40</v>
      </c>
      <c r="C5" s="11" t="s">
        <v>41</v>
      </c>
      <c r="D5" s="19" t="s">
        <v>42</v>
      </c>
      <c r="E5" s="11" t="s">
        <v>43</v>
      </c>
    </row>
    <row r="6" spans="1:5" ht="94.95" customHeight="1" x14ac:dyDescent="0.4">
      <c r="A6" s="20" t="s">
        <v>44</v>
      </c>
      <c r="B6" s="18" t="s">
        <v>45</v>
      </c>
      <c r="C6" s="11" t="s">
        <v>46</v>
      </c>
      <c r="D6" s="19" t="s">
        <v>42</v>
      </c>
      <c r="E6" s="11" t="s">
        <v>47</v>
      </c>
    </row>
    <row r="7" spans="1:5" ht="94.95" customHeight="1" x14ac:dyDescent="0.4">
      <c r="A7" s="21" t="s">
        <v>48</v>
      </c>
      <c r="B7" s="18" t="s">
        <v>49</v>
      </c>
      <c r="C7" s="11" t="s">
        <v>50</v>
      </c>
      <c r="D7" s="22" t="s">
        <v>19</v>
      </c>
      <c r="E7" s="11" t="s">
        <v>51</v>
      </c>
    </row>
    <row r="8" spans="1:5" ht="105" customHeight="1" x14ac:dyDescent="0.4">
      <c r="A8" s="23" t="s">
        <v>52</v>
      </c>
      <c r="B8" s="18" t="s">
        <v>53</v>
      </c>
      <c r="C8" s="11" t="s">
        <v>54</v>
      </c>
      <c r="D8" s="22" t="s">
        <v>19</v>
      </c>
      <c r="E8" s="11" t="s">
        <v>55</v>
      </c>
    </row>
    <row r="9" spans="1:5" ht="94.95" customHeight="1" x14ac:dyDescent="0.4">
      <c r="A9" s="24" t="s">
        <v>56</v>
      </c>
      <c r="B9" s="18" t="s">
        <v>57</v>
      </c>
      <c r="C9" s="11" t="s">
        <v>58</v>
      </c>
      <c r="D9" s="19" t="s">
        <v>42</v>
      </c>
      <c r="E9" s="11" t="s">
        <v>59</v>
      </c>
    </row>
    <row r="10" spans="1:5" ht="75" customHeight="1" x14ac:dyDescent="0.4">
      <c r="A10" s="25" t="s">
        <v>60</v>
      </c>
      <c r="B10" s="18" t="s">
        <v>61</v>
      </c>
      <c r="C10" s="11" t="s">
        <v>62</v>
      </c>
      <c r="D10" s="19" t="s">
        <v>42</v>
      </c>
      <c r="E10" s="11" t="s">
        <v>63</v>
      </c>
    </row>
    <row r="11" spans="1:5" ht="75" customHeight="1" x14ac:dyDescent="0.4">
      <c r="A11" s="26" t="s">
        <v>64</v>
      </c>
      <c r="B11" s="18" t="s">
        <v>65</v>
      </c>
      <c r="C11" s="11" t="s">
        <v>66</v>
      </c>
      <c r="D11" s="19" t="s">
        <v>42</v>
      </c>
      <c r="E11" s="11" t="s">
        <v>67</v>
      </c>
    </row>
  </sheetData>
  <phoneticPr fontId="3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workbookViewId="0"/>
  </sheetViews>
  <sheetFormatPr defaultRowHeight="17.399999999999999" x14ac:dyDescent="0.4"/>
  <cols>
    <col min="1" max="1" width="22" customWidth="1"/>
    <col min="2" max="7" width="16" customWidth="1"/>
  </cols>
  <sheetData>
    <row r="1" spans="1:6" ht="31.95" customHeight="1" x14ac:dyDescent="0.6">
      <c r="A1" s="16" t="s">
        <v>68</v>
      </c>
    </row>
    <row r="2" spans="1:6" x14ac:dyDescent="0.4">
      <c r="A2" s="2" t="s">
        <v>69</v>
      </c>
    </row>
    <row r="4" spans="1:6" ht="20.399999999999999" x14ac:dyDescent="0.45">
      <c r="A4" s="27" t="s">
        <v>70</v>
      </c>
    </row>
    <row r="6" spans="1:6" ht="22.05" customHeight="1" x14ac:dyDescent="0.4">
      <c r="A6" s="28" t="s">
        <v>71</v>
      </c>
      <c r="B6" s="28" t="s">
        <v>27</v>
      </c>
      <c r="C6" s="28" t="s">
        <v>28</v>
      </c>
      <c r="D6" s="28" t="s">
        <v>29</v>
      </c>
      <c r="E6" s="28" t="s">
        <v>72</v>
      </c>
    </row>
    <row r="7" spans="1:6" ht="49.95" customHeight="1" x14ac:dyDescent="0.4">
      <c r="A7" s="29">
        <f>COUNTA('📋 검수 체크리스트'!A6:A35)</f>
        <v>1</v>
      </c>
      <c r="B7" s="30">
        <f>COUNTIF('📋 검수 체크리스트'!M6:M35,"✅ 완료")</f>
        <v>0</v>
      </c>
      <c r="C7" s="29">
        <f>COUNTIF('📋 검수 체크리스트'!M6:M35,"🔄 진행중")</f>
        <v>1</v>
      </c>
      <c r="D7" s="29">
        <f>COUNTIF('📋 검수 체크리스트'!M6:M35,"⏳ 대기")</f>
        <v>0</v>
      </c>
      <c r="E7" s="31">
        <f>COUNTIF('📋 검수 체크리스트'!M6:M35,"⚠ 이슈")</f>
        <v>0</v>
      </c>
    </row>
    <row r="10" spans="1:6" ht="20.399999999999999" x14ac:dyDescent="0.45">
      <c r="A10" s="27" t="s">
        <v>73</v>
      </c>
    </row>
    <row r="12" spans="1:6" ht="25.95" customHeight="1" x14ac:dyDescent="0.4">
      <c r="A12" s="3" t="s">
        <v>34</v>
      </c>
      <c r="B12" s="3" t="s">
        <v>27</v>
      </c>
      <c r="C12" s="3" t="s">
        <v>28</v>
      </c>
      <c r="D12" s="3" t="s">
        <v>29</v>
      </c>
      <c r="E12" s="3" t="s">
        <v>72</v>
      </c>
      <c r="F12" s="3" t="s">
        <v>74</v>
      </c>
    </row>
    <row r="13" spans="1:6" ht="22.05" customHeight="1" x14ac:dyDescent="0.4">
      <c r="A13" s="32" t="s">
        <v>6</v>
      </c>
      <c r="B13" s="33">
        <f>COUNTIF('📋 검수 체크리스트'!E6:E35,"완료")</f>
        <v>1</v>
      </c>
      <c r="C13" s="34">
        <f>COUNTIF('📋 검수 체크리스트'!E6:E35,"진행중")</f>
        <v>0</v>
      </c>
      <c r="D13" s="35">
        <f>COUNTIF('📋 검수 체크리스트'!E6:E35,"대기")</f>
        <v>0</v>
      </c>
      <c r="E13" s="36">
        <f>COUNTIF('📋 검수 체크리스트'!E6:E35,"이슈")</f>
        <v>0</v>
      </c>
      <c r="F13" s="13">
        <f>IFERROR(COUNTIF('📋 검수 체크리스트'!E6:E35,"완료")/COUNTA('📋 검수 체크리스트'!A6:A35),0)</f>
        <v>1</v>
      </c>
    </row>
    <row r="14" spans="1:6" ht="22.05" customHeight="1" x14ac:dyDescent="0.4">
      <c r="A14" s="32" t="s">
        <v>7</v>
      </c>
      <c r="B14" s="33">
        <f>COUNTIF('📋 검수 체크리스트'!F6:F35,"완료")</f>
        <v>1</v>
      </c>
      <c r="C14" s="34">
        <f>COUNTIF('📋 검수 체크리스트'!F6:F35,"진행중")</f>
        <v>0</v>
      </c>
      <c r="D14" s="35">
        <f>COUNTIF('📋 검수 체크리스트'!F6:F35,"대기")</f>
        <v>0</v>
      </c>
      <c r="E14" s="36">
        <f>COUNTIF('📋 검수 체크리스트'!F6:F35,"이슈")</f>
        <v>0</v>
      </c>
      <c r="F14" s="13">
        <f>IFERROR(COUNTIF('📋 검수 체크리스트'!F6:F35,"완료")/COUNTA('📋 검수 체크리스트'!A6:A35),0)</f>
        <v>1</v>
      </c>
    </row>
    <row r="15" spans="1:6" ht="22.05" customHeight="1" x14ac:dyDescent="0.4">
      <c r="A15" s="32" t="s">
        <v>8</v>
      </c>
      <c r="B15" s="33">
        <f>COUNTIF('📋 검수 체크리스트'!G6:G35,"완료")</f>
        <v>1</v>
      </c>
      <c r="C15" s="34">
        <f>COUNTIF('📋 검수 체크리스트'!G6:G35,"진행중")</f>
        <v>0</v>
      </c>
      <c r="D15" s="35">
        <f>COUNTIF('📋 검수 체크리스트'!G6:G35,"대기")</f>
        <v>0</v>
      </c>
      <c r="E15" s="36">
        <f>COUNTIF('📋 검수 체크리스트'!G6:G35,"이슈")</f>
        <v>0</v>
      </c>
      <c r="F15" s="13">
        <f>IFERROR(COUNTIF('📋 검수 체크리스트'!G6:G35,"완료")/COUNTA('📋 검수 체크리스트'!A6:A35),0)</f>
        <v>1</v>
      </c>
    </row>
    <row r="16" spans="1:6" ht="22.05" customHeight="1" x14ac:dyDescent="0.4">
      <c r="A16" s="32" t="s">
        <v>9</v>
      </c>
      <c r="B16" s="33">
        <f>COUNTIF('📋 검수 체크리스트'!H6:H35,"완료")</f>
        <v>1</v>
      </c>
      <c r="C16" s="34">
        <f>COUNTIF('📋 검수 체크리스트'!H6:H35,"진행중")</f>
        <v>0</v>
      </c>
      <c r="D16" s="35">
        <f>COUNTIF('📋 검수 체크리스트'!H6:H35,"대기")</f>
        <v>0</v>
      </c>
      <c r="E16" s="36">
        <f>COUNTIF('📋 검수 체크리스트'!H6:H35,"이슈")</f>
        <v>0</v>
      </c>
      <c r="F16" s="13">
        <f>IFERROR(COUNTIF('📋 검수 체크리스트'!H6:H35,"완료")/COUNTA('📋 검수 체크리스트'!A6:A35),0)</f>
        <v>1</v>
      </c>
    </row>
    <row r="17" spans="1:6" ht="22.05" customHeight="1" x14ac:dyDescent="0.4">
      <c r="A17" s="32" t="s">
        <v>10</v>
      </c>
      <c r="B17" s="33">
        <f>COUNTIF('📋 검수 체크리스트'!I6:I35,"완료")</f>
        <v>0</v>
      </c>
      <c r="C17" s="34">
        <f>COUNTIF('📋 검수 체크리스트'!I6:I35,"진행중")</f>
        <v>1</v>
      </c>
      <c r="D17" s="35">
        <f>COUNTIF('📋 검수 체크리스트'!I6:I35,"대기")</f>
        <v>0</v>
      </c>
      <c r="E17" s="36">
        <f>COUNTIF('📋 검수 체크리스트'!I6:I35,"이슈")</f>
        <v>0</v>
      </c>
      <c r="F17" s="13">
        <f>IFERROR(COUNTIF('📋 검수 체크리스트'!I6:I35,"완료")/COUNTA('📋 검수 체크리스트'!A6:A35),0)</f>
        <v>0</v>
      </c>
    </row>
    <row r="18" spans="1:6" ht="22.05" customHeight="1" x14ac:dyDescent="0.4">
      <c r="A18" s="32" t="s">
        <v>11</v>
      </c>
      <c r="B18" s="33">
        <f>COUNTIF('📋 검수 체크리스트'!J6:J35,"완료")</f>
        <v>0</v>
      </c>
      <c r="C18" s="34">
        <f>COUNTIF('📋 검수 체크리스트'!J6:J35,"진행중")</f>
        <v>0</v>
      </c>
      <c r="D18" s="35">
        <f>COUNTIF('📋 검수 체크리스트'!J6:J35,"대기")</f>
        <v>1</v>
      </c>
      <c r="E18" s="36">
        <f>COUNTIF('📋 검수 체크리스트'!J6:J35,"이슈")</f>
        <v>0</v>
      </c>
      <c r="F18" s="13">
        <f>IFERROR(COUNTIF('📋 검수 체크리스트'!J6:J35,"완료")/COUNTA('📋 검수 체크리스트'!A6:A35),0)</f>
        <v>0</v>
      </c>
    </row>
    <row r="19" spans="1:6" ht="22.05" customHeight="1" x14ac:dyDescent="0.4">
      <c r="A19" s="32" t="s">
        <v>12</v>
      </c>
      <c r="B19" s="33">
        <f>COUNTIF('📋 검수 체크리스트'!K6:K35,"완료")</f>
        <v>0</v>
      </c>
      <c r="C19" s="34">
        <f>COUNTIF('📋 검수 체크리스트'!K6:K35,"진행중")</f>
        <v>0</v>
      </c>
      <c r="D19" s="35">
        <f>COUNTIF('📋 검수 체크리스트'!K6:K35,"대기")</f>
        <v>1</v>
      </c>
      <c r="E19" s="36">
        <f>COUNTIF('📋 검수 체크리스트'!K6:K35,"이슈")</f>
        <v>0</v>
      </c>
      <c r="F19" s="13">
        <f>IFERROR(COUNTIF('📋 검수 체크리스트'!K6:K35,"완료")/COUNTA('📋 검수 체크리스트'!A6:A35),0)</f>
        <v>0</v>
      </c>
    </row>
    <row r="21" spans="1:6" ht="30" customHeight="1" x14ac:dyDescent="0.4">
      <c r="A21" s="37" t="s">
        <v>75</v>
      </c>
      <c r="F21" s="38">
        <f>IFERROR(AVERAGEIF('📋 검수 체크리스트'!A6:A35,"&lt;&gt;",'📋 검수 체크리스트'!L6:L35),0)</f>
        <v>0.5714285714285714</v>
      </c>
    </row>
  </sheetData>
  <phoneticPr fontId="3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6"/>
  <sheetViews>
    <sheetView workbookViewId="0"/>
  </sheetViews>
  <sheetFormatPr defaultRowHeight="17.399999999999999" x14ac:dyDescent="0.4"/>
  <cols>
    <col min="1" max="1" width="22" customWidth="1"/>
    <col min="2" max="2" width="70" customWidth="1"/>
  </cols>
  <sheetData>
    <row r="1" spans="1:2" ht="31.95" customHeight="1" x14ac:dyDescent="0.6">
      <c r="A1" s="16" t="s">
        <v>76</v>
      </c>
    </row>
    <row r="3" spans="1:2" ht="28.05" customHeight="1" x14ac:dyDescent="0.45">
      <c r="A3" s="27" t="s">
        <v>77</v>
      </c>
    </row>
    <row r="4" spans="1:2" ht="22.05" customHeight="1" x14ac:dyDescent="0.4">
      <c r="A4" s="32" t="s">
        <v>78</v>
      </c>
      <c r="B4" s="39" t="s">
        <v>79</v>
      </c>
    </row>
    <row r="5" spans="1:2" ht="22.05" customHeight="1" x14ac:dyDescent="0.4">
      <c r="A5" s="32" t="s">
        <v>80</v>
      </c>
      <c r="B5" s="39" t="s">
        <v>81</v>
      </c>
    </row>
    <row r="6" spans="1:2" ht="22.05" customHeight="1" x14ac:dyDescent="0.4">
      <c r="A6" s="32" t="s">
        <v>82</v>
      </c>
      <c r="B6" s="39" t="s">
        <v>83</v>
      </c>
    </row>
    <row r="7" spans="1:2" ht="22.05" customHeight="1" x14ac:dyDescent="0.4">
      <c r="A7" s="32" t="s">
        <v>76</v>
      </c>
      <c r="B7" s="39" t="s">
        <v>84</v>
      </c>
    </row>
    <row r="8" spans="1:2" ht="10.050000000000001" customHeight="1" x14ac:dyDescent="0.4"/>
    <row r="9" spans="1:2" ht="28.05" customHeight="1" x14ac:dyDescent="0.45">
      <c r="A9" s="27" t="s">
        <v>85</v>
      </c>
    </row>
    <row r="10" spans="1:2" ht="24" customHeight="1" x14ac:dyDescent="0.4">
      <c r="A10" s="40" t="s">
        <v>29</v>
      </c>
      <c r="B10" s="39" t="s">
        <v>86</v>
      </c>
    </row>
    <row r="11" spans="1:2" ht="24" customHeight="1" x14ac:dyDescent="0.4">
      <c r="A11" s="41" t="s">
        <v>28</v>
      </c>
      <c r="B11" s="39" t="s">
        <v>87</v>
      </c>
    </row>
    <row r="12" spans="1:2" ht="24" customHeight="1" x14ac:dyDescent="0.4">
      <c r="A12" s="42" t="s">
        <v>27</v>
      </c>
      <c r="B12" s="39" t="s">
        <v>88</v>
      </c>
    </row>
    <row r="13" spans="1:2" ht="24" customHeight="1" x14ac:dyDescent="0.4">
      <c r="A13" s="43" t="s">
        <v>72</v>
      </c>
      <c r="B13" s="39" t="s">
        <v>89</v>
      </c>
    </row>
    <row r="14" spans="1:2" ht="24" customHeight="1" x14ac:dyDescent="0.4">
      <c r="A14" s="44" t="s">
        <v>90</v>
      </c>
      <c r="B14" s="39" t="s">
        <v>91</v>
      </c>
    </row>
    <row r="15" spans="1:2" ht="10.050000000000001" customHeight="1" x14ac:dyDescent="0.4"/>
    <row r="16" spans="1:2" ht="28.05" customHeight="1" x14ac:dyDescent="0.45">
      <c r="A16" s="27" t="s">
        <v>92</v>
      </c>
    </row>
    <row r="17" spans="1:2" ht="22.05" customHeight="1" x14ac:dyDescent="0.4">
      <c r="A17" s="47" t="s">
        <v>93</v>
      </c>
      <c r="B17" s="48"/>
    </row>
    <row r="18" spans="1:2" ht="22.05" customHeight="1" x14ac:dyDescent="0.4">
      <c r="A18" s="47" t="s">
        <v>94</v>
      </c>
      <c r="B18" s="48"/>
    </row>
    <row r="19" spans="1:2" ht="22.05" customHeight="1" x14ac:dyDescent="0.4">
      <c r="A19" s="47" t="s">
        <v>95</v>
      </c>
      <c r="B19" s="48"/>
    </row>
    <row r="20" spans="1:2" ht="22.05" customHeight="1" x14ac:dyDescent="0.4">
      <c r="A20" s="47" t="s">
        <v>96</v>
      </c>
      <c r="B20" s="48"/>
    </row>
    <row r="21" spans="1:2" ht="22.05" customHeight="1" x14ac:dyDescent="0.4">
      <c r="A21" s="47" t="s">
        <v>97</v>
      </c>
      <c r="B21" s="48"/>
    </row>
    <row r="22" spans="1:2" ht="22.05" customHeight="1" x14ac:dyDescent="0.4">
      <c r="A22" s="47" t="s">
        <v>98</v>
      </c>
      <c r="B22" s="48"/>
    </row>
    <row r="23" spans="1:2" ht="22.05" customHeight="1" x14ac:dyDescent="0.4">
      <c r="A23" s="47" t="s">
        <v>99</v>
      </c>
      <c r="B23" s="48"/>
    </row>
    <row r="24" spans="1:2" ht="10.050000000000001" customHeight="1" x14ac:dyDescent="0.4"/>
    <row r="25" spans="1:2" ht="28.05" customHeight="1" x14ac:dyDescent="0.45">
      <c r="A25" s="27" t="s">
        <v>100</v>
      </c>
    </row>
    <row r="26" spans="1:2" ht="22.05" customHeight="1" x14ac:dyDescent="0.4">
      <c r="A26" s="45" t="s">
        <v>101</v>
      </c>
      <c r="B26" s="46" t="s">
        <v>102</v>
      </c>
    </row>
    <row r="27" spans="1:2" ht="22.05" customHeight="1" x14ac:dyDescent="0.4">
      <c r="A27" s="45" t="s">
        <v>103</v>
      </c>
      <c r="B27" s="46" t="s">
        <v>104</v>
      </c>
    </row>
    <row r="28" spans="1:2" ht="22.05" customHeight="1" x14ac:dyDescent="0.4">
      <c r="A28" s="45" t="s">
        <v>105</v>
      </c>
      <c r="B28" s="46" t="s">
        <v>106</v>
      </c>
    </row>
    <row r="29" spans="1:2" ht="10.050000000000001" customHeight="1" x14ac:dyDescent="0.4"/>
    <row r="30" spans="1:2" ht="28.05" customHeight="1" x14ac:dyDescent="0.45">
      <c r="A30" s="27" t="s">
        <v>107</v>
      </c>
    </row>
    <row r="31" spans="1:2" ht="24" customHeight="1" x14ac:dyDescent="0.4">
      <c r="A31" s="47" t="s">
        <v>108</v>
      </c>
      <c r="B31" s="48"/>
    </row>
    <row r="32" spans="1:2" ht="24" customHeight="1" x14ac:dyDescent="0.4">
      <c r="A32" s="47" t="s">
        <v>109</v>
      </c>
      <c r="B32" s="48"/>
    </row>
    <row r="33" spans="1:2" ht="24" customHeight="1" x14ac:dyDescent="0.4">
      <c r="A33" s="47" t="s">
        <v>110</v>
      </c>
      <c r="B33" s="48"/>
    </row>
    <row r="34" spans="1:2" ht="24" customHeight="1" x14ac:dyDescent="0.4">
      <c r="A34" s="47" t="s">
        <v>111</v>
      </c>
      <c r="B34" s="48"/>
    </row>
    <row r="35" spans="1:2" ht="24" customHeight="1" x14ac:dyDescent="0.4">
      <c r="A35" s="47" t="s">
        <v>112</v>
      </c>
      <c r="B35" s="48"/>
    </row>
    <row r="36" spans="1:2" ht="24" customHeight="1" x14ac:dyDescent="0.4">
      <c r="A36" s="47" t="s">
        <v>113</v>
      </c>
      <c r="B36" s="48"/>
    </row>
  </sheetData>
  <mergeCells count="13">
    <mergeCell ref="A36:B36"/>
    <mergeCell ref="A17:B17"/>
    <mergeCell ref="A18:B18"/>
    <mergeCell ref="A31:B31"/>
    <mergeCell ref="A22:B22"/>
    <mergeCell ref="A34:B34"/>
    <mergeCell ref="A35:B35"/>
    <mergeCell ref="A20:B20"/>
    <mergeCell ref="A21:B21"/>
    <mergeCell ref="A19:B19"/>
    <mergeCell ref="A33:B33"/>
    <mergeCell ref="A23:B23"/>
    <mergeCell ref="A32:B32"/>
  </mergeCells>
  <phoneticPr fontId="34" type="noConversion"/>
  <hyperlinks>
    <hyperlink ref="B26" r:id="rId1" xr:uid="{00000000-0004-0000-0300-000000000000}"/>
    <hyperlink ref="B27" r:id="rId2" xr:uid="{00000000-0004-0000-0300-000001000000}"/>
    <hyperlink ref="B28" r:id="rId3" xr:uid="{00000000-0004-0000-0300-000002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📋 검수 체크리스트</vt:lpstr>
      <vt:lpstr>📑 단계별 상세</vt:lpstr>
      <vt:lpstr>📈 진행 현황</vt:lpstr>
      <vt:lpstr>ℹ️ 사용 가이드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재만 이</cp:lastModifiedBy>
  <dcterms:created xsi:type="dcterms:W3CDTF">2026-05-21T06:17:13Z</dcterms:created>
  <dcterms:modified xsi:type="dcterms:W3CDTF">2026-05-21T06:18:55Z</dcterms:modified>
</cp:coreProperties>
</file>